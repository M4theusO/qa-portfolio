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" sheetId="1" r:id="rId5"/>
    <sheet state="visible" name="Bug Report" sheetId="2" r:id="rId6"/>
    <sheet state="visible" name="Test Report" sheetId="3" r:id="rId7"/>
  </sheets>
  <definedNames/>
  <calcPr/>
</workbook>
</file>

<file path=xl/sharedStrings.xml><?xml version="1.0" encoding="utf-8"?>
<sst xmlns="http://schemas.openxmlformats.org/spreadsheetml/2006/main" count="89" uniqueCount="65">
  <si>
    <t>Passos</t>
  </si>
  <si>
    <t>Resultado esperado</t>
  </si>
  <si>
    <t>Status</t>
  </si>
  <si>
    <t>Resultados Encontrados</t>
  </si>
  <si>
    <t>Pré condições</t>
  </si>
  <si>
    <t>Acessar página de Login de sistema</t>
  </si>
  <si>
    <t>Faça login com um e-mail e senha cadastrado</t>
  </si>
  <si>
    <t>Digite um endereço de e-mail cadastrado</t>
  </si>
  <si>
    <t>Passou</t>
  </si>
  <si>
    <t>Digite uma senha válida</t>
  </si>
  <si>
    <t>Clique no botão entrar</t>
  </si>
  <si>
    <t>O usuário é logado com sucesso / Aparece a tela inicial</t>
  </si>
  <si>
    <t>Logar com um e-mail não registrado</t>
  </si>
  <si>
    <t>Digite um e-mail não cadastrado</t>
  </si>
  <si>
    <t>Digite uma senha</t>
  </si>
  <si>
    <t>Uma mensagem de erro aparece dizendo "Email e/ou senha inválidos "</t>
  </si>
  <si>
    <t>Logar com um e-mail válido e senha inválida</t>
  </si>
  <si>
    <t>Digite um endereço de e-mail válido</t>
  </si>
  <si>
    <t>Digite uma senha inválida</t>
  </si>
  <si>
    <t>Logar com todos os campos em branco</t>
  </si>
  <si>
    <t>Duas mensagens de erro aparecem "Email não pode ficar em branco" e "Senha não pode ficar em branco"</t>
  </si>
  <si>
    <t>Logar a senha em branco</t>
  </si>
  <si>
    <t>Uma mensagem de erro aparece "Senha não pode ficar em branco"</t>
  </si>
  <si>
    <t>Acessar página de cadastro pelo login</t>
  </si>
  <si>
    <t>Clique no botão Cadastrar</t>
  </si>
  <si>
    <t>O usuário é redirecionado para a página de cadastro de usuários</t>
  </si>
  <si>
    <t>Falhou</t>
  </si>
  <si>
    <t>O link não redireciona para a tela de cadastro</t>
  </si>
  <si>
    <t>Título</t>
  </si>
  <si>
    <t>Login -&gt; Não é possivel acessar a página de cadastro</t>
  </si>
  <si>
    <t>Passos para reprodução</t>
  </si>
  <si>
    <t>1. Clicar no botão de cadastro de usuário</t>
  </si>
  <si>
    <t>2. Aguardar tela carregando</t>
  </si>
  <si>
    <t>3. Página com erro 500 abre</t>
  </si>
  <si>
    <r>
      <rPr/>
      <t xml:space="preserve">4. Tela de login direcionada para link </t>
    </r>
    <r>
      <rPr>
        <color rgb="FF1155CC"/>
        <u/>
      </rPr>
      <t>https://front.serverest.dev/cadastrar</t>
    </r>
  </si>
  <si>
    <t>Pagina de cadastro abrir</t>
  </si>
  <si>
    <t>Resultado encontrado</t>
  </si>
  <si>
    <t>Página fica carregando infinitamente até dar erro 500</t>
  </si>
  <si>
    <t>Ambiente de teste</t>
  </si>
  <si>
    <t>Ambiente de "Dev"</t>
  </si>
  <si>
    <t>Prioridade</t>
  </si>
  <si>
    <t>Muito Alta</t>
  </si>
  <si>
    <t>Tipo</t>
  </si>
  <si>
    <t>Funcional</t>
  </si>
  <si>
    <t>Evidencia</t>
  </si>
  <si>
    <t>Status Casos de Teste</t>
  </si>
  <si>
    <t>Resultado Build Atual</t>
  </si>
  <si>
    <t>Resultado Build Anterior</t>
  </si>
  <si>
    <t>Diferença</t>
  </si>
  <si>
    <t>Tendência</t>
  </si>
  <si>
    <t>Validação</t>
  </si>
  <si>
    <t>Número de TCs</t>
  </si>
  <si>
    <t>TCs Passou</t>
  </si>
  <si>
    <t>TCs Falhou</t>
  </si>
  <si>
    <t>TCs Bloqueado</t>
  </si>
  <si>
    <t>Status por Prioridades dos defeitos</t>
  </si>
  <si>
    <t>Defeitos Build Atual</t>
  </si>
  <si>
    <t>Defeitos Build Anterior</t>
  </si>
  <si>
    <t>Total Number</t>
  </si>
  <si>
    <t>Alto</t>
  </si>
  <si>
    <t>Medio</t>
  </si>
  <si>
    <t>Baixo</t>
  </si>
  <si>
    <t>Status por Tipo de Defeito</t>
  </si>
  <si>
    <t>UI/UX</t>
  </si>
  <si>
    <t>Performance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</si>
</sst>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4">
    <font>
      <sz val="10.0"/>
      <color rgb="FF000000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  <font>
      <u/>
      <color rgb="FF0000FF"/>
    </font>
  </fonts>
  <fills count="8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6AA84F"/>
        <bgColor rgb="FF6AA84F"/>
      </patternFill>
    </fill>
    <fill>
      <patternFill patternType="solid">
        <fgColor rgb="FF274E13"/>
        <bgColor rgb="FF274E13"/>
      </patternFill>
    </fill>
    <fill>
      <patternFill patternType="solid">
        <fgColor rgb="FFB6D7A8"/>
        <bgColor rgb="FFB6D7A8"/>
      </patternFill>
    </fill>
    <fill>
      <patternFill patternType="solid">
        <fgColor rgb="FF134F5C"/>
        <bgColor rgb="FF134F5C"/>
      </patternFill>
    </fill>
    <fill>
      <patternFill patternType="solid">
        <fgColor rgb="FFA2C4C9"/>
        <bgColor rgb="FFA2C4C9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3" fontId="1" numFmtId="0" xfId="0" applyFont="1"/>
    <xf borderId="0" fillId="4" fontId="1" numFmtId="0" xfId="0" applyAlignment="1" applyFill="1" applyFont="1">
      <alignment horizontal="center" readingOrder="0"/>
    </xf>
    <xf borderId="0" fillId="4" fontId="1" numFmtId="0" xfId="0" applyAlignment="1" applyFont="1">
      <alignment readingOrder="0"/>
    </xf>
    <xf borderId="0" fillId="4" fontId="1" numFmtId="0" xfId="0" applyFont="1"/>
    <xf borderId="0" fillId="5" fontId="2" numFmtId="164" xfId="0" applyAlignment="1" applyFill="1" applyFont="1" applyNumberFormat="1">
      <alignment horizontal="center" readingOrder="0"/>
    </xf>
    <xf borderId="0" fillId="5" fontId="2" numFmtId="0" xfId="0" applyAlignment="1" applyFont="1">
      <alignment readingOrder="0"/>
    </xf>
    <xf borderId="0" fillId="5" fontId="2" numFmtId="0" xfId="0" applyFont="1"/>
    <xf borderId="0" fillId="5" fontId="2" numFmtId="0" xfId="0" applyAlignment="1" applyFont="1">
      <alignment readingOrder="0" vertical="center"/>
    </xf>
    <xf borderId="0" fillId="5" fontId="2" numFmtId="0" xfId="0" applyAlignment="1" applyFont="1">
      <alignment readingOrder="0" shrinkToFit="0" vertical="center" wrapText="1"/>
    </xf>
    <xf borderId="0" fillId="6" fontId="1" numFmtId="0" xfId="0" applyAlignment="1" applyFill="1" applyFont="1">
      <alignment readingOrder="0" vertical="center"/>
    </xf>
    <xf borderId="0" fillId="7" fontId="2" numFmtId="0" xfId="0" applyAlignment="1" applyFill="1" applyFont="1">
      <alignment readingOrder="0"/>
    </xf>
    <xf borderId="0" fillId="7" fontId="3" numFmtId="0" xfId="0" applyAlignment="1" applyFont="1">
      <alignment readingOrder="0"/>
    </xf>
    <xf borderId="0" fillId="6" fontId="1" numFmtId="0" xfId="0" applyAlignment="1" applyFont="1">
      <alignment readingOrder="0"/>
    </xf>
    <xf borderId="0" fillId="7" fontId="2" numFmtId="0" xfId="0" applyFont="1"/>
    <xf borderId="0" fillId="2" fontId="1" numFmtId="0" xfId="0" applyAlignment="1" applyFont="1">
      <alignment horizontal="center" readingOrder="0"/>
    </xf>
    <xf borderId="0" fillId="3" fontId="2" numFmtId="0" xfId="0" applyAlignment="1" applyFont="1">
      <alignment horizontal="center" readingOrder="0"/>
    </xf>
    <xf borderId="0" fillId="5" fontId="2" numFmtId="0" xfId="0" applyAlignment="1" applyFont="1">
      <alignment horizontal="center" readingOrder="0"/>
    </xf>
    <xf borderId="0" fillId="5" fontId="2" numFmtId="0" xfId="0" applyAlignment="1" applyFont="1">
      <alignment horizontal="center"/>
    </xf>
    <xf borderId="0" fillId="2" fontId="1" numFmtId="0" xfId="0" applyAlignment="1" applyFont="1">
      <alignment horizontal="center" readingOrder="0" shrinkToFit="0" vertical="center" wrapText="1"/>
    </xf>
    <xf borderId="0" fillId="2" fontId="1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front.serverest.dev/cadastrarusuarios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2" width="34.0"/>
    <col customWidth="1" min="3" max="3" width="53.63"/>
    <col customWidth="1" min="5" max="5" width="34.75"/>
  </cols>
  <sheetData>
    <row r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>
      <c r="A2" s="2" t="s">
        <v>4</v>
      </c>
      <c r="B2" s="2" t="s">
        <v>5</v>
      </c>
      <c r="C2" s="3"/>
      <c r="D2" s="3"/>
      <c r="E2" s="3"/>
    </row>
    <row r="3">
      <c r="A3" s="4">
        <v>1.0</v>
      </c>
      <c r="B3" s="5" t="s">
        <v>6</v>
      </c>
      <c r="C3" s="6"/>
      <c r="D3" s="6"/>
      <c r="E3" s="6"/>
    </row>
    <row r="4">
      <c r="A4" s="7">
        <v>45658.0</v>
      </c>
      <c r="B4" s="8" t="s">
        <v>7</v>
      </c>
      <c r="C4" s="9"/>
      <c r="D4" s="8" t="s">
        <v>8</v>
      </c>
      <c r="E4" s="9"/>
    </row>
    <row r="5">
      <c r="A5" s="7">
        <v>45689.0</v>
      </c>
      <c r="B5" s="8" t="s">
        <v>9</v>
      </c>
      <c r="C5" s="9"/>
      <c r="D5" s="8" t="s">
        <v>8</v>
      </c>
      <c r="E5" s="9"/>
    </row>
    <row r="6">
      <c r="A6" s="7">
        <v>45717.0</v>
      </c>
      <c r="B6" s="8" t="s">
        <v>10</v>
      </c>
      <c r="C6" s="8" t="s">
        <v>11</v>
      </c>
      <c r="D6" s="8" t="s">
        <v>8</v>
      </c>
      <c r="E6" s="9"/>
    </row>
    <row r="7">
      <c r="A7" s="4">
        <v>2.0</v>
      </c>
      <c r="B7" s="5" t="s">
        <v>12</v>
      </c>
      <c r="C7" s="6"/>
      <c r="D7" s="6"/>
      <c r="E7" s="6"/>
    </row>
    <row r="8">
      <c r="A8" s="7">
        <v>45659.0</v>
      </c>
      <c r="B8" s="8" t="s">
        <v>13</v>
      </c>
      <c r="C8" s="9"/>
      <c r="D8" s="8" t="s">
        <v>8</v>
      </c>
      <c r="E8" s="9"/>
    </row>
    <row r="9">
      <c r="A9" s="7">
        <v>45690.0</v>
      </c>
      <c r="B9" s="8" t="s">
        <v>14</v>
      </c>
      <c r="C9" s="9"/>
      <c r="D9" s="8" t="s">
        <v>8</v>
      </c>
      <c r="E9" s="9"/>
    </row>
    <row r="10">
      <c r="A10" s="7">
        <v>45718.0</v>
      </c>
      <c r="B10" s="8" t="s">
        <v>10</v>
      </c>
      <c r="C10" s="8" t="s">
        <v>15</v>
      </c>
      <c r="D10" s="8" t="s">
        <v>8</v>
      </c>
      <c r="E10" s="9"/>
    </row>
    <row r="11">
      <c r="A11" s="4">
        <v>3.0</v>
      </c>
      <c r="B11" s="5" t="s">
        <v>16</v>
      </c>
      <c r="C11" s="6"/>
      <c r="D11" s="6"/>
      <c r="E11" s="6"/>
    </row>
    <row r="12">
      <c r="A12" s="7">
        <v>45660.0</v>
      </c>
      <c r="B12" s="8" t="s">
        <v>17</v>
      </c>
      <c r="C12" s="9"/>
      <c r="D12" s="8" t="s">
        <v>8</v>
      </c>
      <c r="E12" s="9"/>
    </row>
    <row r="13">
      <c r="A13" s="7">
        <v>45691.0</v>
      </c>
      <c r="B13" s="8" t="s">
        <v>18</v>
      </c>
      <c r="C13" s="9"/>
      <c r="D13" s="8" t="s">
        <v>8</v>
      </c>
      <c r="E13" s="9"/>
    </row>
    <row r="14">
      <c r="A14" s="7">
        <v>45719.0</v>
      </c>
      <c r="B14" s="8" t="s">
        <v>10</v>
      </c>
      <c r="C14" s="8" t="s">
        <v>15</v>
      </c>
      <c r="D14" s="8" t="s">
        <v>8</v>
      </c>
      <c r="E14" s="9"/>
    </row>
    <row r="15">
      <c r="A15" s="4">
        <v>4.0</v>
      </c>
      <c r="B15" s="5" t="s">
        <v>19</v>
      </c>
      <c r="C15" s="6"/>
      <c r="D15" s="6"/>
      <c r="E15" s="6"/>
    </row>
    <row r="16">
      <c r="A16" s="7">
        <v>45661.0</v>
      </c>
      <c r="B16" s="10" t="s">
        <v>10</v>
      </c>
      <c r="C16" s="11" t="s">
        <v>20</v>
      </c>
      <c r="D16" s="10" t="s">
        <v>8</v>
      </c>
      <c r="E16" s="9"/>
    </row>
    <row r="17">
      <c r="A17" s="4">
        <v>5.0</v>
      </c>
      <c r="B17" s="5" t="s">
        <v>21</v>
      </c>
      <c r="C17" s="6"/>
      <c r="D17" s="6"/>
      <c r="E17" s="6"/>
    </row>
    <row r="18">
      <c r="A18" s="7">
        <v>45662.0</v>
      </c>
      <c r="B18" s="8" t="s">
        <v>17</v>
      </c>
      <c r="C18" s="9"/>
      <c r="D18" s="8" t="s">
        <v>8</v>
      </c>
      <c r="E18" s="9"/>
    </row>
    <row r="19">
      <c r="A19" s="7">
        <v>45693.0</v>
      </c>
      <c r="B19" s="10" t="s">
        <v>10</v>
      </c>
      <c r="C19" s="11" t="s">
        <v>22</v>
      </c>
      <c r="D19" s="8" t="s">
        <v>8</v>
      </c>
      <c r="E19" s="9"/>
    </row>
    <row r="20">
      <c r="A20" s="4">
        <v>6.0</v>
      </c>
      <c r="B20" s="5" t="s">
        <v>23</v>
      </c>
      <c r="C20" s="6"/>
      <c r="D20" s="6"/>
      <c r="E20" s="6"/>
    </row>
    <row r="21">
      <c r="A21" s="7">
        <v>45663.0</v>
      </c>
      <c r="B21" s="10" t="s">
        <v>24</v>
      </c>
      <c r="C21" s="8" t="s">
        <v>25</v>
      </c>
      <c r="D21" s="8" t="s">
        <v>26</v>
      </c>
      <c r="E21" s="8" t="s">
        <v>27</v>
      </c>
    </row>
  </sheetData>
  <dataValidations>
    <dataValidation type="list" allowBlank="1" showErrorMessage="1" sqref="D4:D6 D8:D10 D12:D14 D16 D18:D19 D21">
      <formula1>"Novo,Passou,Falhou,Bloqueado"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61.0"/>
  </cols>
  <sheetData>
    <row r="1">
      <c r="A1" s="1" t="s">
        <v>28</v>
      </c>
      <c r="B1" s="1" t="s">
        <v>29</v>
      </c>
    </row>
    <row r="2">
      <c r="A2" s="12" t="s">
        <v>30</v>
      </c>
      <c r="B2" s="13" t="s">
        <v>31</v>
      </c>
    </row>
    <row r="3">
      <c r="B3" s="13" t="s">
        <v>32</v>
      </c>
    </row>
    <row r="4">
      <c r="B4" s="13" t="s">
        <v>33</v>
      </c>
    </row>
    <row r="5">
      <c r="B5" s="14" t="s">
        <v>34</v>
      </c>
    </row>
    <row r="6">
      <c r="A6" s="15" t="s">
        <v>1</v>
      </c>
      <c r="B6" s="13" t="s">
        <v>35</v>
      </c>
    </row>
    <row r="7">
      <c r="A7" s="15" t="s">
        <v>36</v>
      </c>
      <c r="B7" s="13" t="s">
        <v>37</v>
      </c>
    </row>
    <row r="8">
      <c r="A8" s="15" t="s">
        <v>38</v>
      </c>
      <c r="B8" s="13" t="s">
        <v>39</v>
      </c>
    </row>
    <row r="9">
      <c r="A9" s="15" t="s">
        <v>40</v>
      </c>
      <c r="B9" s="13" t="s">
        <v>41</v>
      </c>
    </row>
    <row r="10">
      <c r="A10" s="15" t="s">
        <v>42</v>
      </c>
      <c r="B10" s="13" t="s">
        <v>43</v>
      </c>
    </row>
    <row r="11">
      <c r="A11" s="15" t="s">
        <v>44</v>
      </c>
      <c r="B11" s="16"/>
    </row>
  </sheetData>
  <mergeCells count="1">
    <mergeCell ref="A2:A5"/>
  </mergeCells>
  <hyperlinks>
    <hyperlink r:id="rId1" ref="B5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2" max="2" width="16.88"/>
    <col customWidth="1" min="3" max="3" width="19.0"/>
    <col customWidth="1" min="4" max="5" width="8.63"/>
    <col customWidth="1" min="6" max="6" width="14.88"/>
  </cols>
  <sheetData>
    <row r="1">
      <c r="A1" s="17" t="s">
        <v>45</v>
      </c>
      <c r="B1" s="17" t="s">
        <v>46</v>
      </c>
      <c r="C1" s="17" t="s">
        <v>47</v>
      </c>
      <c r="D1" s="17" t="s">
        <v>48</v>
      </c>
      <c r="E1" s="17" t="s">
        <v>49</v>
      </c>
      <c r="F1" s="17" t="s">
        <v>50</v>
      </c>
    </row>
    <row r="2">
      <c r="A2" s="18" t="s">
        <v>51</v>
      </c>
      <c r="B2" s="19">
        <v>13.0</v>
      </c>
      <c r="C2" s="19">
        <v>9.0</v>
      </c>
      <c r="D2" s="20">
        <f t="shared" ref="D2:D5" si="1">B2-C2</f>
        <v>4</v>
      </c>
      <c r="E2" s="20" t="str">
        <f t="shared" ref="E2:E5" si="2">IF(B2&gt;C2,"⬆️",IF(B2&lt;C2,"⬇️","➡️"))</f>
        <v>⬆️</v>
      </c>
      <c r="F2" s="20" t="str">
        <f t="shared" ref="F2:F5" si="3">IF(B2&gt;C2, "✅ Maior", "⚠️ Menor ou Igual")</f>
        <v>✅ Maior</v>
      </c>
    </row>
    <row r="3">
      <c r="A3" s="18" t="s">
        <v>52</v>
      </c>
      <c r="B3" s="19">
        <v>6.0</v>
      </c>
      <c r="C3" s="19">
        <v>9.0</v>
      </c>
      <c r="D3" s="20">
        <f t="shared" si="1"/>
        <v>-3</v>
      </c>
      <c r="E3" s="20" t="str">
        <f t="shared" si="2"/>
        <v>⬇️</v>
      </c>
      <c r="F3" s="20" t="str">
        <f t="shared" si="3"/>
        <v>⚠️ Menor ou Igual</v>
      </c>
    </row>
    <row r="4">
      <c r="A4" s="18" t="s">
        <v>53</v>
      </c>
      <c r="B4" s="19">
        <v>4.0</v>
      </c>
      <c r="C4" s="19">
        <v>0.0</v>
      </c>
      <c r="D4" s="20">
        <f t="shared" si="1"/>
        <v>4</v>
      </c>
      <c r="E4" s="20" t="str">
        <f t="shared" si="2"/>
        <v>⬆️</v>
      </c>
      <c r="F4" s="20" t="str">
        <f t="shared" si="3"/>
        <v>✅ Maior</v>
      </c>
    </row>
    <row r="5">
      <c r="A5" s="18" t="s">
        <v>54</v>
      </c>
      <c r="B5" s="19">
        <v>3.0</v>
      </c>
      <c r="C5" s="19">
        <v>0.0</v>
      </c>
      <c r="D5" s="20">
        <f t="shared" si="1"/>
        <v>3</v>
      </c>
      <c r="E5" s="20" t="str">
        <f t="shared" si="2"/>
        <v>⬆️</v>
      </c>
      <c r="F5" s="20" t="str">
        <f t="shared" si="3"/>
        <v>✅ Maior</v>
      </c>
    </row>
    <row r="9">
      <c r="A9" s="21" t="s">
        <v>55</v>
      </c>
      <c r="B9" s="22" t="s">
        <v>56</v>
      </c>
      <c r="C9" s="22" t="s">
        <v>57</v>
      </c>
      <c r="D9" s="22" t="s">
        <v>49</v>
      </c>
    </row>
    <row r="10">
      <c r="A10" s="18" t="s">
        <v>58</v>
      </c>
      <c r="B10" s="19">
        <v>4.0</v>
      </c>
      <c r="C10" s="19">
        <v>0.0</v>
      </c>
      <c r="D10" s="19" t="str">
        <f t="shared" ref="D10:D13" si="4">IF(B10&gt;C10,"⬆️",IF(B10&lt;C10,"⬇️","➡️"))</f>
        <v>⬆️</v>
      </c>
    </row>
    <row r="11">
      <c r="A11" s="18" t="s">
        <v>59</v>
      </c>
      <c r="B11" s="19">
        <v>4.0</v>
      </c>
      <c r="C11" s="19">
        <v>0.0</v>
      </c>
      <c r="D11" s="19" t="str">
        <f t="shared" si="4"/>
        <v>⬆️</v>
      </c>
    </row>
    <row r="12">
      <c r="A12" s="18" t="s">
        <v>60</v>
      </c>
      <c r="B12" s="19">
        <v>0.0</v>
      </c>
      <c r="C12" s="19">
        <v>0.0</v>
      </c>
      <c r="D12" s="19" t="str">
        <f t="shared" si="4"/>
        <v>➡️</v>
      </c>
    </row>
    <row r="13">
      <c r="A13" s="18" t="s">
        <v>61</v>
      </c>
      <c r="B13" s="19">
        <v>0.0</v>
      </c>
      <c r="C13" s="19">
        <v>0.0</v>
      </c>
      <c r="D13" s="19" t="str">
        <f t="shared" si="4"/>
        <v>➡️</v>
      </c>
    </row>
    <row r="17">
      <c r="A17" s="21" t="s">
        <v>62</v>
      </c>
      <c r="B17" s="22" t="s">
        <v>56</v>
      </c>
      <c r="C17" s="22" t="s">
        <v>57</v>
      </c>
      <c r="D17" s="22" t="s">
        <v>49</v>
      </c>
    </row>
    <row r="18">
      <c r="A18" s="18" t="s">
        <v>58</v>
      </c>
      <c r="B18" s="19">
        <v>4.0</v>
      </c>
      <c r="C18" s="19">
        <v>0.0</v>
      </c>
      <c r="D18" s="19" t="str">
        <f t="shared" ref="D18:D21" si="5">IF(B18&gt;C18,"⬆️",IF(B18&lt;C18,"⬇️","➡️"))</f>
        <v>⬆️</v>
      </c>
    </row>
    <row r="19">
      <c r="A19" s="18" t="s">
        <v>43</v>
      </c>
      <c r="B19" s="19">
        <v>4.0</v>
      </c>
      <c r="C19" s="19">
        <v>0.0</v>
      </c>
      <c r="D19" s="19" t="str">
        <f t="shared" si="5"/>
        <v>⬆️</v>
      </c>
    </row>
    <row r="20">
      <c r="A20" s="18" t="s">
        <v>63</v>
      </c>
      <c r="B20" s="19">
        <v>3.0</v>
      </c>
      <c r="C20" s="19">
        <v>0.0</v>
      </c>
      <c r="D20" s="19" t="str">
        <f t="shared" si="5"/>
        <v>⬆️</v>
      </c>
    </row>
    <row r="21">
      <c r="A21" s="18" t="s">
        <v>64</v>
      </c>
      <c r="B21" s="19">
        <v>0.0</v>
      </c>
      <c r="C21" s="19">
        <v>0.0</v>
      </c>
      <c r="D21" s="19" t="str">
        <f t="shared" si="5"/>
        <v>➡️</v>
      </c>
    </row>
  </sheetData>
  <drawing r:id="rId1"/>
</worksheet>
</file>